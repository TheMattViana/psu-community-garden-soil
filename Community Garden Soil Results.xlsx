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zk5945_psu_edu/Documents/Documents/Soil Testing Community Garden/"/>
    </mc:Choice>
  </mc:AlternateContent>
  <xr:revisionPtr revIDLastSave="83" documentId="8_{50CE4FFE-63E3-4A0C-964D-AEA272315EFA}" xr6:coauthVersionLast="47" xr6:coauthVersionMax="47" xr10:uidLastSave="{BC55127A-11A9-4CFB-B64E-98702614FB1D}"/>
  <bookViews>
    <workbookView xWindow="-110" yWindow="-110" windowWidth="19420" windowHeight="10300" activeTab="1" xr2:uid="{00000000-000D-0000-FFFF-FFFF00000000}"/>
  </bookViews>
  <sheets>
    <sheet name="Summary" sheetId="1" r:id="rId1"/>
    <sheet name="Grap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2" l="1"/>
  <c r="S16" i="2"/>
  <c r="R16" i="2"/>
  <c r="Q16" i="2"/>
  <c r="T15" i="2"/>
  <c r="S15" i="2"/>
  <c r="R15" i="2"/>
  <c r="Q15" i="2"/>
  <c r="T14" i="2"/>
  <c r="S14" i="2"/>
  <c r="R14" i="2"/>
  <c r="Q14" i="2"/>
  <c r="T13" i="2"/>
  <c r="S13" i="2"/>
  <c r="R13" i="2"/>
  <c r="Q13" i="2"/>
  <c r="T12" i="2"/>
  <c r="S12" i="2"/>
  <c r="R12" i="2"/>
  <c r="Q12" i="2"/>
  <c r="T11" i="2"/>
  <c r="S11" i="2"/>
  <c r="R11" i="2"/>
  <c r="Q11" i="2"/>
  <c r="T10" i="2"/>
  <c r="S10" i="2"/>
  <c r="R10" i="2"/>
  <c r="Q10" i="2"/>
  <c r="T9" i="2"/>
  <c r="S9" i="2"/>
  <c r="R9" i="2"/>
  <c r="Q9" i="2"/>
  <c r="T8" i="2"/>
  <c r="S8" i="2"/>
  <c r="R8" i="2"/>
  <c r="Q8" i="2"/>
  <c r="T7" i="2"/>
  <c r="S7" i="2"/>
  <c r="R7" i="2"/>
  <c r="Q7" i="2"/>
  <c r="T6" i="2"/>
  <c r="S6" i="2"/>
  <c r="R6" i="2"/>
  <c r="Q6" i="2"/>
  <c r="T5" i="2"/>
  <c r="S5" i="2"/>
  <c r="R5" i="2"/>
  <c r="Q5" i="2"/>
  <c r="T4" i="2"/>
  <c r="S4" i="2"/>
  <c r="R4" i="2"/>
  <c r="Q4" i="2"/>
  <c r="T3" i="2"/>
  <c r="S3" i="2"/>
  <c r="R3" i="2"/>
  <c r="Q3" i="2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C21" i="1"/>
  <c r="C20" i="1"/>
  <c r="C19" i="1"/>
  <c r="C18" i="1"/>
</calcChain>
</file>

<file path=xl/sharedStrings.xml><?xml version="1.0" encoding="utf-8"?>
<sst xmlns="http://schemas.openxmlformats.org/spreadsheetml/2006/main" count="95" uniqueCount="56">
  <si>
    <t>S26-19033</t>
  </si>
  <si>
    <t>10G</t>
  </si>
  <si>
    <t>S26-19034</t>
  </si>
  <si>
    <t>16G</t>
  </si>
  <si>
    <t>S26-19035</t>
  </si>
  <si>
    <t>15D</t>
  </si>
  <si>
    <t>S26-19036</t>
  </si>
  <si>
    <t>8G</t>
  </si>
  <si>
    <t>S26-19037</t>
  </si>
  <si>
    <t>14G</t>
  </si>
  <si>
    <t>S26-19038</t>
  </si>
  <si>
    <t>18E</t>
  </si>
  <si>
    <t>S26-19039</t>
  </si>
  <si>
    <t>8B</t>
  </si>
  <si>
    <t>S26-19040</t>
  </si>
  <si>
    <t>10A</t>
  </si>
  <si>
    <t>S26-19041</t>
  </si>
  <si>
    <t>18A</t>
  </si>
  <si>
    <t>S26-19043</t>
  </si>
  <si>
    <t>13B</t>
  </si>
  <si>
    <t>S26-19044</t>
  </si>
  <si>
    <t>6G</t>
  </si>
  <si>
    <t>S26-19045</t>
  </si>
  <si>
    <t>14A</t>
  </si>
  <si>
    <t>S26-19046</t>
  </si>
  <si>
    <t>9D</t>
  </si>
  <si>
    <t>Lab ID</t>
  </si>
  <si>
    <t>Field ID</t>
  </si>
  <si>
    <t>pH</t>
  </si>
  <si>
    <t>M3 Phosphorus (ppm)</t>
  </si>
  <si>
    <t>M3 Potassium (ppm)</t>
  </si>
  <si>
    <t>M3 Magnesium (ppm)</t>
  </si>
  <si>
    <t>M3 Calcium (ppm)</t>
  </si>
  <si>
    <t>Acidity (meq/100g)</t>
  </si>
  <si>
    <t>CEC (meq/100g)</t>
  </si>
  <si>
    <t>K% Saturation of CEC</t>
  </si>
  <si>
    <t>Mg% Saturation of CEC</t>
  </si>
  <si>
    <t>Ca% Saturation of CEC</t>
  </si>
  <si>
    <t>M3 Zinc (ppm)</t>
  </si>
  <si>
    <t>M3 Copper (ppm)</t>
  </si>
  <si>
    <t>M3 Sulfur (ppm)</t>
  </si>
  <si>
    <t>Organic Matter (%)</t>
  </si>
  <si>
    <t>Soil Testing Methods:</t>
  </si>
  <si>
    <t>Soil Testing Methods — Agricultural Analytical Services Lab — Penn State College of Agricultural Sciences (psu.edu)</t>
  </si>
  <si>
    <t>Stats</t>
  </si>
  <si>
    <t>Average</t>
  </si>
  <si>
    <t>Std Dev</t>
  </si>
  <si>
    <t>Min</t>
  </si>
  <si>
    <t>Max</t>
  </si>
  <si>
    <t>Phosphorus (ppm)</t>
  </si>
  <si>
    <t>Potassium (ppm)</t>
  </si>
  <si>
    <t>Magnesium (ppm)</t>
  </si>
  <si>
    <t>Calcium (ppm)</t>
  </si>
  <si>
    <t>Zinc (ppm)</t>
  </si>
  <si>
    <t>Copper (ppm)</t>
  </si>
  <si>
    <t>Sulfur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</si>
</sst>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vertical="top"/>
    </xf>
    <xf numFmtId="164" fontId="0" fillId="0" borderId="0" xfId="0" applyNumberFormat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vertical="top"/>
    </xf>
    <xf numFmtId="1" fontId="0" fillId="0" borderId="0" xfId="0" applyNumberFormat="1"/>
    <xf numFmtId="164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Graphs!$P$3</c:f>
              <c:strCache>
                <c:ptCount val="1"/>
                <c:pt idx="0">
                  <c:v>pH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Graphs!$R$3</c:f>
                <c:numCache>
                  <c:formatCode>General</c:formatCode>
                  <c:ptCount val="1"/>
                  <c:pt idx="0">
                    <c:v>0.13113899457230818</c:v>
                  </c:pt>
                </c:numCache>
              </c:numRef>
            </c:plus>
            <c:minus>
              <c:numRef>
                <c:f>Graphs!$R$3</c:f>
                <c:numCache>
                  <c:formatCode>General</c:formatCode>
                  <c:ptCount val="1"/>
                  <c:pt idx="0">
                    <c:v>0.13113899457230818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alpha val="93000"/>
                  </a:schemeClr>
                </a:solidFill>
                <a:round/>
              </a:ln>
              <a:effectLst/>
            </c:spPr>
          </c:errBars>
          <c:cat>
            <c:strRef>
              <c:f>Graphs!$Q$2</c:f>
              <c:strCache>
                <c:ptCount val="1"/>
                <c:pt idx="0">
                  <c:v>Average</c:v>
                </c:pt>
              </c:strCache>
            </c:strRef>
          </c:cat>
          <c:val>
            <c:numRef>
              <c:f>Graphs!$Q$3</c:f>
              <c:numCache>
                <c:formatCode>0.0</c:formatCode>
                <c:ptCount val="1"/>
                <c:pt idx="0">
                  <c:v>7.1415384615384614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C-414A-A9A9-C95DCB55F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873648"/>
        <c:axId val="2070860688"/>
      </c:barChart>
      <c:catAx>
        <c:axId val="20708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60688"/>
        <c:crosses val="autoZero"/>
        <c:auto val="1"/>
        <c:lblAlgn val="ctr"/>
        <c:lblOffset val="100"/>
        <c:noMultiLvlLbl val="0"/>
      </c:catAx>
      <c:valAx>
        <c:axId val="2070860688"/>
        <c:scaling>
          <c:orientation val="minMax"/>
          <c:max val="7.5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7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21</xdr:row>
      <xdr:rowOff>61811</xdr:rowOff>
    </xdr:from>
    <xdr:to>
      <xdr:col>4</xdr:col>
      <xdr:colOff>1304233</xdr:colOff>
      <xdr:row>48</xdr:row>
      <xdr:rowOff>108085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EE3CC0-80B3-5C01-A1FF-F0DB8EB3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493513"/>
          <a:ext cx="6816572" cy="4423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101600</xdr:rowOff>
    </xdr:from>
    <xdr:to>
      <xdr:col>7</xdr:col>
      <xdr:colOff>6350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DA6377-63FF-80B0-9B5B-DC015A124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gsci.psu.edu/aasl/soil-testing/method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zoomScale="69" workbookViewId="0">
      <selection activeCell="H28" sqref="H28"/>
    </sheetView>
  </sheetViews>
  <sheetFormatPr defaultColWidth="21.69921875" defaultRowHeight="13" x14ac:dyDescent="0.3"/>
  <cols>
    <col min="3" max="3" width="21.69921875" style="12"/>
    <col min="7" max="7" width="21.69921875" style="16"/>
    <col min="16" max="16" width="21.69921875" style="12"/>
  </cols>
  <sheetData>
    <row r="1" spans="1:29" ht="14.5" x14ac:dyDescent="0.35">
      <c r="A1" s="6" t="s">
        <v>42</v>
      </c>
      <c r="B1" s="7" t="s">
        <v>43</v>
      </c>
      <c r="C1" s="9"/>
      <c r="D1" s="8"/>
      <c r="E1" s="8"/>
      <c r="F1" s="8"/>
      <c r="G1" s="13"/>
      <c r="H1" s="8"/>
      <c r="I1" s="8"/>
      <c r="J1" s="8"/>
      <c r="K1" s="8"/>
      <c r="L1" s="8"/>
      <c r="M1" s="8"/>
      <c r="N1" s="8"/>
      <c r="O1" s="8"/>
      <c r="P1" s="9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s="5" customFormat="1" x14ac:dyDescent="0.3">
      <c r="A2" s="3" t="s">
        <v>26</v>
      </c>
      <c r="B2" s="3" t="s">
        <v>27</v>
      </c>
      <c r="C2" s="10" t="s">
        <v>28</v>
      </c>
      <c r="D2" s="4" t="s">
        <v>29</v>
      </c>
      <c r="E2" s="4" t="s">
        <v>30</v>
      </c>
      <c r="F2" s="4" t="s">
        <v>31</v>
      </c>
      <c r="G2" s="1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17" t="s">
        <v>41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x14ac:dyDescent="0.3">
      <c r="A3" s="1" t="s">
        <v>0</v>
      </c>
      <c r="B3" s="1" t="s">
        <v>1</v>
      </c>
      <c r="C3" s="11">
        <v>7.02</v>
      </c>
      <c r="D3" s="2">
        <v>343</v>
      </c>
      <c r="E3" s="2">
        <v>290</v>
      </c>
      <c r="F3" s="2">
        <v>349</v>
      </c>
      <c r="G3" s="15">
        <v>4911.3999999999996</v>
      </c>
      <c r="H3" s="2">
        <v>0</v>
      </c>
      <c r="I3" s="2">
        <v>18.7</v>
      </c>
      <c r="J3" s="2">
        <v>4</v>
      </c>
      <c r="K3" s="2">
        <v>15.6</v>
      </c>
      <c r="L3" s="2">
        <v>80.400000000000006</v>
      </c>
      <c r="M3" s="2">
        <v>22.8</v>
      </c>
      <c r="N3" s="2">
        <v>2</v>
      </c>
      <c r="O3" s="2">
        <v>15.8</v>
      </c>
      <c r="P3" s="11">
        <v>9.89</v>
      </c>
    </row>
    <row r="4" spans="1:29" x14ac:dyDescent="0.3">
      <c r="A4" s="1" t="s">
        <v>2</v>
      </c>
      <c r="B4" s="1" t="s">
        <v>3</v>
      </c>
      <c r="C4" s="11">
        <v>7.34</v>
      </c>
      <c r="D4" s="2">
        <v>305</v>
      </c>
      <c r="E4" s="2">
        <v>240</v>
      </c>
      <c r="F4" s="2">
        <v>385</v>
      </c>
      <c r="G4" s="15">
        <v>5150.7</v>
      </c>
      <c r="H4" s="2">
        <v>0</v>
      </c>
      <c r="I4" s="2">
        <v>18.8</v>
      </c>
      <c r="J4" s="2">
        <v>3.3</v>
      </c>
      <c r="K4" s="2">
        <v>17</v>
      </c>
      <c r="L4" s="2">
        <v>79.7</v>
      </c>
      <c r="M4" s="2">
        <v>18.5</v>
      </c>
      <c r="N4" s="2">
        <v>2</v>
      </c>
      <c r="O4" s="2">
        <v>18.2</v>
      </c>
      <c r="P4" s="11">
        <v>10.23</v>
      </c>
    </row>
    <row r="5" spans="1:29" x14ac:dyDescent="0.3">
      <c r="A5" s="1" t="s">
        <v>4</v>
      </c>
      <c r="B5" s="1" t="s">
        <v>5</v>
      </c>
      <c r="C5" s="11">
        <v>7.11</v>
      </c>
      <c r="D5" s="2">
        <v>252</v>
      </c>
      <c r="E5" s="2">
        <v>315</v>
      </c>
      <c r="F5" s="2">
        <v>360</v>
      </c>
      <c r="G5" s="15">
        <v>4648.8</v>
      </c>
      <c r="H5" s="2">
        <v>0</v>
      </c>
      <c r="I5" s="2">
        <v>18.8</v>
      </c>
      <c r="J5" s="2">
        <v>4.3</v>
      </c>
      <c r="K5" s="2">
        <v>16</v>
      </c>
      <c r="L5" s="2">
        <v>79.8</v>
      </c>
      <c r="M5" s="2">
        <v>17.399999999999999</v>
      </c>
      <c r="N5" s="2">
        <v>2</v>
      </c>
      <c r="O5" s="2">
        <v>19.600000000000001</v>
      </c>
      <c r="P5" s="11">
        <v>9.58</v>
      </c>
    </row>
    <row r="6" spans="1:29" x14ac:dyDescent="0.3">
      <c r="A6" s="1" t="s">
        <v>6</v>
      </c>
      <c r="B6" s="1" t="s">
        <v>7</v>
      </c>
      <c r="C6" s="11">
        <v>7.27</v>
      </c>
      <c r="D6" s="2">
        <v>270</v>
      </c>
      <c r="E6" s="2">
        <v>177</v>
      </c>
      <c r="F6" s="2">
        <v>320</v>
      </c>
      <c r="G6" s="15">
        <v>4533.2</v>
      </c>
      <c r="H6" s="2">
        <v>0</v>
      </c>
      <c r="I6" s="2">
        <v>18.100000000000001</v>
      </c>
      <c r="J6" s="2">
        <v>2.5</v>
      </c>
      <c r="K6" s="2">
        <v>14.7</v>
      </c>
      <c r="L6" s="2">
        <v>82.8</v>
      </c>
      <c r="M6" s="2">
        <v>24.8</v>
      </c>
      <c r="N6" s="2">
        <v>1.8</v>
      </c>
      <c r="O6" s="2">
        <v>14.4</v>
      </c>
      <c r="P6" s="11">
        <v>10.06</v>
      </c>
    </row>
    <row r="7" spans="1:29" x14ac:dyDescent="0.3">
      <c r="A7" s="1" t="s">
        <v>8</v>
      </c>
      <c r="B7" s="1" t="s">
        <v>9</v>
      </c>
      <c r="C7" s="11">
        <v>7.17</v>
      </c>
      <c r="D7" s="2">
        <v>335</v>
      </c>
      <c r="E7" s="2">
        <v>253</v>
      </c>
      <c r="F7" s="2">
        <v>342</v>
      </c>
      <c r="G7" s="15">
        <v>4965.7</v>
      </c>
      <c r="H7" s="2">
        <v>0</v>
      </c>
      <c r="I7" s="2">
        <v>18.5</v>
      </c>
      <c r="J7" s="2">
        <v>3.5</v>
      </c>
      <c r="K7" s="2">
        <v>15.4</v>
      </c>
      <c r="L7" s="2">
        <v>81.099999999999994</v>
      </c>
      <c r="M7" s="2">
        <v>24.5</v>
      </c>
      <c r="N7" s="2">
        <v>2.1</v>
      </c>
      <c r="O7" s="2">
        <v>15.9</v>
      </c>
      <c r="P7" s="11">
        <v>9.7799999999999994</v>
      </c>
    </row>
    <row r="8" spans="1:29" x14ac:dyDescent="0.3">
      <c r="A8" s="1" t="s">
        <v>10</v>
      </c>
      <c r="B8" s="1" t="s">
        <v>11</v>
      </c>
      <c r="C8" s="11">
        <v>7.22</v>
      </c>
      <c r="D8" s="2">
        <v>216</v>
      </c>
      <c r="E8" s="2">
        <v>198</v>
      </c>
      <c r="F8" s="2">
        <v>414</v>
      </c>
      <c r="G8" s="15">
        <v>5807.1</v>
      </c>
      <c r="H8" s="2">
        <v>0</v>
      </c>
      <c r="I8" s="2">
        <v>19</v>
      </c>
      <c r="J8" s="2">
        <v>2.7</v>
      </c>
      <c r="K8" s="2">
        <v>18.2</v>
      </c>
      <c r="L8" s="2">
        <v>79.099999999999994</v>
      </c>
      <c r="M8" s="2">
        <v>20.100000000000001</v>
      </c>
      <c r="N8" s="2">
        <v>1.9</v>
      </c>
      <c r="O8" s="2">
        <v>17.8</v>
      </c>
      <c r="P8" s="11">
        <v>12.6</v>
      </c>
    </row>
    <row r="9" spans="1:29" x14ac:dyDescent="0.3">
      <c r="A9" s="1" t="s">
        <v>12</v>
      </c>
      <c r="B9" s="1" t="s">
        <v>13</v>
      </c>
      <c r="C9" s="11">
        <v>7.23</v>
      </c>
      <c r="D9" s="2">
        <v>304</v>
      </c>
      <c r="E9" s="2">
        <v>240</v>
      </c>
      <c r="F9" s="2">
        <v>326</v>
      </c>
      <c r="G9" s="15">
        <v>5183.7</v>
      </c>
      <c r="H9" s="2">
        <v>0</v>
      </c>
      <c r="I9" s="2">
        <v>18.3</v>
      </c>
      <c r="J9" s="2">
        <v>3.4</v>
      </c>
      <c r="K9" s="2">
        <v>14.8</v>
      </c>
      <c r="L9" s="2">
        <v>81.8</v>
      </c>
      <c r="M9" s="2">
        <v>20.7</v>
      </c>
      <c r="N9" s="2">
        <v>1.8</v>
      </c>
      <c r="O9" s="2">
        <v>17</v>
      </c>
      <c r="P9" s="11">
        <v>10.46</v>
      </c>
    </row>
    <row r="10" spans="1:29" x14ac:dyDescent="0.3">
      <c r="A10" s="1" t="s">
        <v>14</v>
      </c>
      <c r="B10" s="1" t="s">
        <v>15</v>
      </c>
      <c r="C10" s="11">
        <v>7.05</v>
      </c>
      <c r="D10" s="2">
        <v>262</v>
      </c>
      <c r="E10" s="2">
        <v>227</v>
      </c>
      <c r="F10" s="2">
        <v>357</v>
      </c>
      <c r="G10" s="15">
        <v>5077.7</v>
      </c>
      <c r="H10" s="2">
        <v>0</v>
      </c>
      <c r="I10" s="2">
        <v>18.600000000000001</v>
      </c>
      <c r="J10" s="2">
        <v>3.1</v>
      </c>
      <c r="K10" s="2">
        <v>16</v>
      </c>
      <c r="L10" s="2">
        <v>80.8</v>
      </c>
      <c r="M10" s="2">
        <v>20.7</v>
      </c>
      <c r="N10" s="2">
        <v>2.5</v>
      </c>
      <c r="O10" s="2">
        <v>15.6</v>
      </c>
      <c r="P10" s="11">
        <v>10.6</v>
      </c>
    </row>
    <row r="11" spans="1:29" x14ac:dyDescent="0.3">
      <c r="A11" s="1" t="s">
        <v>16</v>
      </c>
      <c r="B11" s="1" t="s">
        <v>17</v>
      </c>
      <c r="C11" s="11">
        <v>7.23</v>
      </c>
      <c r="D11" s="2">
        <v>289</v>
      </c>
      <c r="E11" s="2">
        <v>506</v>
      </c>
      <c r="F11" s="2">
        <v>363</v>
      </c>
      <c r="G11" s="15">
        <v>5188.8</v>
      </c>
      <c r="H11" s="2">
        <v>0</v>
      </c>
      <c r="I11" s="2">
        <v>19.3</v>
      </c>
      <c r="J11" s="2">
        <v>6.7</v>
      </c>
      <c r="K11" s="2">
        <v>15.7</v>
      </c>
      <c r="L11" s="2">
        <v>77.599999999999994</v>
      </c>
      <c r="M11" s="2">
        <v>22</v>
      </c>
      <c r="N11" s="2">
        <v>2.6</v>
      </c>
      <c r="O11" s="2">
        <v>25</v>
      </c>
      <c r="P11" s="11">
        <v>11.45</v>
      </c>
    </row>
    <row r="12" spans="1:29" x14ac:dyDescent="0.3">
      <c r="A12" s="1" t="s">
        <v>18</v>
      </c>
      <c r="B12" s="1" t="s">
        <v>19</v>
      </c>
      <c r="C12" s="11">
        <v>7.15</v>
      </c>
      <c r="D12" s="2">
        <v>272</v>
      </c>
      <c r="E12" s="2">
        <v>375</v>
      </c>
      <c r="F12" s="2">
        <v>331</v>
      </c>
      <c r="G12" s="15">
        <v>4232.5</v>
      </c>
      <c r="H12" s="2">
        <v>0</v>
      </c>
      <c r="I12" s="2">
        <v>18.7</v>
      </c>
      <c r="J12" s="2">
        <v>5.0999999999999996</v>
      </c>
      <c r="K12" s="2">
        <v>14.7</v>
      </c>
      <c r="L12" s="2">
        <v>80.099999999999994</v>
      </c>
      <c r="M12" s="2">
        <v>18.399999999999999</v>
      </c>
      <c r="N12" s="2">
        <v>2.2000000000000002</v>
      </c>
      <c r="O12" s="2">
        <v>29.3</v>
      </c>
      <c r="P12" s="11">
        <v>7.42</v>
      </c>
    </row>
    <row r="13" spans="1:29" x14ac:dyDescent="0.3">
      <c r="A13" s="1" t="s">
        <v>20</v>
      </c>
      <c r="B13" s="1" t="s">
        <v>21</v>
      </c>
      <c r="C13" s="11">
        <v>6.94</v>
      </c>
      <c r="D13" s="2">
        <v>345</v>
      </c>
      <c r="E13" s="2">
        <v>232</v>
      </c>
      <c r="F13" s="2">
        <v>392</v>
      </c>
      <c r="G13" s="15">
        <v>5938.2</v>
      </c>
      <c r="H13" s="2">
        <v>0</v>
      </c>
      <c r="I13" s="2">
        <v>18.899999999999999</v>
      </c>
      <c r="J13" s="2">
        <v>3.2</v>
      </c>
      <c r="K13" s="2">
        <v>17.3</v>
      </c>
      <c r="L13" s="2">
        <v>79.5</v>
      </c>
      <c r="M13" s="2">
        <v>28.1</v>
      </c>
      <c r="N13" s="2">
        <v>1.8</v>
      </c>
      <c r="O13" s="2">
        <v>19.100000000000001</v>
      </c>
      <c r="P13" s="11">
        <v>13.52</v>
      </c>
    </row>
    <row r="14" spans="1:29" x14ac:dyDescent="0.3">
      <c r="A14" s="1" t="s">
        <v>22</v>
      </c>
      <c r="B14" s="1" t="s">
        <v>23</v>
      </c>
      <c r="C14" s="11">
        <v>7.21</v>
      </c>
      <c r="D14" s="2">
        <v>279</v>
      </c>
      <c r="E14" s="2">
        <v>499</v>
      </c>
      <c r="F14" s="2">
        <v>358</v>
      </c>
      <c r="G14" s="15">
        <v>4680.8999999999996</v>
      </c>
      <c r="H14" s="2">
        <v>0</v>
      </c>
      <c r="I14" s="2">
        <v>19.3</v>
      </c>
      <c r="J14" s="2">
        <v>6.6</v>
      </c>
      <c r="K14" s="2">
        <v>15.5</v>
      </c>
      <c r="L14" s="2">
        <v>77.900000000000006</v>
      </c>
      <c r="M14" s="2">
        <v>18.100000000000001</v>
      </c>
      <c r="N14" s="2">
        <v>1.9</v>
      </c>
      <c r="O14" s="2">
        <v>26.1</v>
      </c>
      <c r="P14" s="11">
        <v>9.1</v>
      </c>
    </row>
    <row r="15" spans="1:29" x14ac:dyDescent="0.3">
      <c r="A15" s="1" t="s">
        <v>24</v>
      </c>
      <c r="B15" s="1" t="s">
        <v>25</v>
      </c>
      <c r="C15" s="11">
        <v>6.9</v>
      </c>
      <c r="D15" s="2">
        <v>338</v>
      </c>
      <c r="E15" s="2">
        <v>361</v>
      </c>
      <c r="F15" s="2">
        <v>423</v>
      </c>
      <c r="G15" s="15">
        <v>6329.9</v>
      </c>
      <c r="H15" s="2">
        <v>0</v>
      </c>
      <c r="I15" s="2">
        <v>19.5</v>
      </c>
      <c r="J15" s="2">
        <v>4.8</v>
      </c>
      <c r="K15" s="2">
        <v>18.100000000000001</v>
      </c>
      <c r="L15" s="2">
        <v>77.099999999999994</v>
      </c>
      <c r="M15" s="2">
        <v>28.7</v>
      </c>
      <c r="N15" s="2">
        <v>2.1</v>
      </c>
      <c r="O15" s="2">
        <v>25.5</v>
      </c>
      <c r="P15" s="11">
        <v>12.64</v>
      </c>
    </row>
    <row r="18" spans="1:16" x14ac:dyDescent="0.3">
      <c r="A18" s="18" t="s">
        <v>44</v>
      </c>
      <c r="B18" s="1" t="s">
        <v>45</v>
      </c>
      <c r="C18" s="12">
        <f>AVERAGE(C3:C15)</f>
        <v>7.1415384615384614</v>
      </c>
      <c r="D18" s="12">
        <f t="shared" ref="D18:P18" si="0">AVERAGE(D3:D15)</f>
        <v>293.07692307692309</v>
      </c>
      <c r="E18" s="12">
        <f t="shared" si="0"/>
        <v>301</v>
      </c>
      <c r="F18" s="12">
        <f t="shared" si="0"/>
        <v>363.07692307692309</v>
      </c>
      <c r="G18" s="12">
        <f t="shared" si="0"/>
        <v>5126.8153846153837</v>
      </c>
      <c r="H18" s="12">
        <f t="shared" si="0"/>
        <v>0</v>
      </c>
      <c r="I18" s="12">
        <f t="shared" si="0"/>
        <v>18.80769230769231</v>
      </c>
      <c r="J18" s="12">
        <f t="shared" si="0"/>
        <v>4.0923076923076929</v>
      </c>
      <c r="K18" s="12">
        <f t="shared" si="0"/>
        <v>16.076923076923077</v>
      </c>
      <c r="L18" s="12">
        <f t="shared" si="0"/>
        <v>79.823076923076925</v>
      </c>
      <c r="M18" s="12">
        <f t="shared" si="0"/>
        <v>21.907692307692304</v>
      </c>
      <c r="N18" s="12">
        <f t="shared" si="0"/>
        <v>2.0538461538461541</v>
      </c>
      <c r="O18" s="12">
        <f t="shared" si="0"/>
        <v>19.946153846153848</v>
      </c>
      <c r="P18" s="12">
        <f t="shared" si="0"/>
        <v>10.563846153846153</v>
      </c>
    </row>
    <row r="19" spans="1:16" x14ac:dyDescent="0.3">
      <c r="B19" s="1" t="s">
        <v>46</v>
      </c>
      <c r="C19" s="12">
        <f>STDEV(C3:C15)</f>
        <v>0.13113899457230818</v>
      </c>
      <c r="D19" s="12">
        <f t="shared" ref="D19:P19" si="1">STDEV(D3:D15)</f>
        <v>39.80255757791933</v>
      </c>
      <c r="E19" s="12">
        <f t="shared" si="1"/>
        <v>106.68879978704419</v>
      </c>
      <c r="F19" s="12">
        <f t="shared" si="1"/>
        <v>32.242470796713505</v>
      </c>
      <c r="G19" s="12">
        <f t="shared" si="1"/>
        <v>593.75120469514036</v>
      </c>
      <c r="H19" s="12">
        <f t="shared" si="1"/>
        <v>0</v>
      </c>
      <c r="I19" s="12">
        <f t="shared" si="1"/>
        <v>0.40096038553606594</v>
      </c>
      <c r="J19" s="12">
        <f t="shared" si="1"/>
        <v>1.3653214142107946</v>
      </c>
      <c r="K19" s="12">
        <f t="shared" si="1"/>
        <v>1.2091001103808889</v>
      </c>
      <c r="L19" s="12">
        <f t="shared" si="1"/>
        <v>1.6447663695055326</v>
      </c>
      <c r="M19" s="12">
        <f t="shared" si="1"/>
        <v>3.7113478096377031</v>
      </c>
      <c r="N19" s="12">
        <f t="shared" si="1"/>
        <v>0.25369070609498828</v>
      </c>
      <c r="O19" s="12">
        <f t="shared" si="1"/>
        <v>4.8488169321006209</v>
      </c>
      <c r="P19" s="12">
        <f t="shared" si="1"/>
        <v>1.6436977543612854</v>
      </c>
    </row>
    <row r="20" spans="1:16" x14ac:dyDescent="0.3">
      <c r="B20" s="1" t="s">
        <v>47</v>
      </c>
      <c r="C20" s="12">
        <f>MIN(C3:C15)</f>
        <v>6.9</v>
      </c>
      <c r="D20" s="12">
        <f t="shared" ref="D20:P20" si="2">MIN(D3:D15)</f>
        <v>216</v>
      </c>
      <c r="E20" s="12">
        <f t="shared" si="2"/>
        <v>177</v>
      </c>
      <c r="F20" s="12">
        <f t="shared" si="2"/>
        <v>320</v>
      </c>
      <c r="G20" s="12">
        <f t="shared" si="2"/>
        <v>4232.5</v>
      </c>
      <c r="H20" s="12">
        <f t="shared" si="2"/>
        <v>0</v>
      </c>
      <c r="I20" s="12">
        <f t="shared" si="2"/>
        <v>18.100000000000001</v>
      </c>
      <c r="J20" s="12">
        <f t="shared" si="2"/>
        <v>2.5</v>
      </c>
      <c r="K20" s="12">
        <f t="shared" si="2"/>
        <v>14.7</v>
      </c>
      <c r="L20" s="12">
        <f t="shared" si="2"/>
        <v>77.099999999999994</v>
      </c>
      <c r="M20" s="12">
        <f t="shared" si="2"/>
        <v>17.399999999999999</v>
      </c>
      <c r="N20" s="12">
        <f t="shared" si="2"/>
        <v>1.8</v>
      </c>
      <c r="O20" s="12">
        <f t="shared" si="2"/>
        <v>14.4</v>
      </c>
      <c r="P20" s="12">
        <f t="shared" si="2"/>
        <v>7.42</v>
      </c>
    </row>
    <row r="21" spans="1:16" x14ac:dyDescent="0.3">
      <c r="B21" s="1" t="s">
        <v>48</v>
      </c>
      <c r="C21" s="12">
        <f>MAX(C3:C15)</f>
        <v>7.34</v>
      </c>
      <c r="D21" s="12">
        <f t="shared" ref="D21:P21" si="3">MAX(D3:D15)</f>
        <v>345</v>
      </c>
      <c r="E21" s="12">
        <f t="shared" si="3"/>
        <v>506</v>
      </c>
      <c r="F21" s="12">
        <f t="shared" si="3"/>
        <v>423</v>
      </c>
      <c r="G21" s="12">
        <f t="shared" si="3"/>
        <v>6329.9</v>
      </c>
      <c r="H21" s="12">
        <f t="shared" si="3"/>
        <v>0</v>
      </c>
      <c r="I21" s="12">
        <f t="shared" si="3"/>
        <v>19.5</v>
      </c>
      <c r="J21" s="12">
        <f t="shared" si="3"/>
        <v>6.7</v>
      </c>
      <c r="K21" s="12">
        <f t="shared" si="3"/>
        <v>18.2</v>
      </c>
      <c r="L21" s="12">
        <f t="shared" si="3"/>
        <v>82.8</v>
      </c>
      <c r="M21" s="12">
        <f t="shared" si="3"/>
        <v>28.7</v>
      </c>
      <c r="N21" s="12">
        <f t="shared" si="3"/>
        <v>2.6</v>
      </c>
      <c r="O21" s="12">
        <f t="shared" si="3"/>
        <v>29.3</v>
      </c>
      <c r="P21" s="12">
        <f t="shared" si="3"/>
        <v>13.52</v>
      </c>
    </row>
  </sheetData>
  <hyperlinks>
    <hyperlink ref="B1" r:id="rId1" display="https://agsci.psu.edu/aasl/soil-testing/methods" xr:uid="{581F3810-65B4-495C-A9CA-B201302C891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BC94-4DCA-4C9E-89ED-F8A732849484}">
  <dimension ref="A1:T16"/>
  <sheetViews>
    <sheetView tabSelected="1" zoomScale="80" workbookViewId="0">
      <selection activeCell="Q24" sqref="Q24"/>
    </sheetView>
  </sheetViews>
  <sheetFormatPr defaultRowHeight="13" x14ac:dyDescent="0.3"/>
  <cols>
    <col min="1" max="1" width="19.09765625" style="20" customWidth="1"/>
    <col min="16" max="16" width="19.09765625" customWidth="1"/>
  </cols>
  <sheetData>
    <row r="1" spans="1:20" x14ac:dyDescent="0.3">
      <c r="B1" s="19" t="s">
        <v>27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R1" s="25"/>
    </row>
    <row r="2" spans="1:20" x14ac:dyDescent="0.3">
      <c r="B2" s="1" t="s">
        <v>1</v>
      </c>
      <c r="C2" s="1" t="s">
        <v>3</v>
      </c>
      <c r="D2" s="1" t="s">
        <v>5</v>
      </c>
      <c r="E2" s="1" t="s">
        <v>7</v>
      </c>
      <c r="F2" s="1" t="s">
        <v>9</v>
      </c>
      <c r="G2" s="1" t="s">
        <v>11</v>
      </c>
      <c r="H2" s="1" t="s">
        <v>13</v>
      </c>
      <c r="I2" s="1" t="s">
        <v>15</v>
      </c>
      <c r="J2" s="1" t="s">
        <v>17</v>
      </c>
      <c r="K2" s="1" t="s">
        <v>19</v>
      </c>
      <c r="L2" s="1" t="s">
        <v>21</v>
      </c>
      <c r="M2" s="1" t="s">
        <v>23</v>
      </c>
      <c r="N2" s="1" t="s">
        <v>25</v>
      </c>
      <c r="Q2" s="18" t="s">
        <v>45</v>
      </c>
      <c r="R2" s="18" t="s">
        <v>46</v>
      </c>
      <c r="S2" s="18" t="s">
        <v>47</v>
      </c>
      <c r="T2" s="18" t="s">
        <v>48</v>
      </c>
    </row>
    <row r="3" spans="1:20" x14ac:dyDescent="0.3">
      <c r="A3" s="21" t="s">
        <v>28</v>
      </c>
      <c r="B3" s="11">
        <v>7.02</v>
      </c>
      <c r="C3" s="11">
        <v>7.34</v>
      </c>
      <c r="D3" s="11">
        <v>7.11</v>
      </c>
      <c r="E3" s="11">
        <v>7.27</v>
      </c>
      <c r="F3" s="11">
        <v>7.17</v>
      </c>
      <c r="G3" s="11">
        <v>7.22</v>
      </c>
      <c r="H3" s="11">
        <v>7.23</v>
      </c>
      <c r="I3" s="11">
        <v>7.05</v>
      </c>
      <c r="J3" s="11">
        <v>7.23</v>
      </c>
      <c r="K3" s="11">
        <v>7.15</v>
      </c>
      <c r="L3" s="11">
        <v>6.94</v>
      </c>
      <c r="M3" s="11">
        <v>7.21</v>
      </c>
      <c r="N3" s="11">
        <v>6.9</v>
      </c>
      <c r="P3" s="21" t="s">
        <v>28</v>
      </c>
      <c r="Q3" s="12">
        <f>AVERAGE(B3:N3)</f>
        <v>7.1415384615384614</v>
      </c>
      <c r="R3" s="12">
        <f>STDEV(B3:N3)</f>
        <v>0.13113899457230818</v>
      </c>
      <c r="S3" s="12">
        <f>MIN(B3:N3)</f>
        <v>6.9</v>
      </c>
      <c r="T3" s="12">
        <f>MAX(B3:N3)</f>
        <v>7.34</v>
      </c>
    </row>
    <row r="4" spans="1:20" x14ac:dyDescent="0.3">
      <c r="A4" s="22" t="s">
        <v>49</v>
      </c>
      <c r="B4" s="2">
        <v>343</v>
      </c>
      <c r="C4" s="2">
        <v>305</v>
      </c>
      <c r="D4" s="2">
        <v>252</v>
      </c>
      <c r="E4" s="2">
        <v>270</v>
      </c>
      <c r="F4" s="2">
        <v>335</v>
      </c>
      <c r="G4" s="2">
        <v>216</v>
      </c>
      <c r="H4" s="2">
        <v>304</v>
      </c>
      <c r="I4" s="2">
        <v>262</v>
      </c>
      <c r="J4" s="2">
        <v>289</v>
      </c>
      <c r="K4" s="2">
        <v>272</v>
      </c>
      <c r="L4" s="2">
        <v>345</v>
      </c>
      <c r="M4" s="2">
        <v>279</v>
      </c>
      <c r="N4" s="2">
        <v>338</v>
      </c>
      <c r="P4" s="22" t="s">
        <v>49</v>
      </c>
      <c r="Q4" s="12">
        <f>AVERAGE(B4:N4)</f>
        <v>293.07692307692309</v>
      </c>
      <c r="R4" s="12">
        <f>STDEV(B4:N4)</f>
        <v>39.80255757791933</v>
      </c>
      <c r="S4" s="12">
        <f>MIN(B4:N4)</f>
        <v>216</v>
      </c>
      <c r="T4" s="12">
        <f>MAX(B4:N4)</f>
        <v>345</v>
      </c>
    </row>
    <row r="5" spans="1:20" x14ac:dyDescent="0.3">
      <c r="A5" s="22" t="s">
        <v>50</v>
      </c>
      <c r="B5" s="2">
        <v>290</v>
      </c>
      <c r="C5" s="2">
        <v>240</v>
      </c>
      <c r="D5" s="2">
        <v>315</v>
      </c>
      <c r="E5" s="2">
        <v>177</v>
      </c>
      <c r="F5" s="2">
        <v>253</v>
      </c>
      <c r="G5" s="2">
        <v>198</v>
      </c>
      <c r="H5" s="2">
        <v>240</v>
      </c>
      <c r="I5" s="2">
        <v>227</v>
      </c>
      <c r="J5" s="2">
        <v>506</v>
      </c>
      <c r="K5" s="2">
        <v>375</v>
      </c>
      <c r="L5" s="2">
        <v>232</v>
      </c>
      <c r="M5" s="2">
        <v>499</v>
      </c>
      <c r="N5" s="2">
        <v>361</v>
      </c>
      <c r="P5" s="22" t="s">
        <v>50</v>
      </c>
      <c r="Q5" s="12">
        <f>AVERAGE(B5:N5)</f>
        <v>301</v>
      </c>
      <c r="R5" s="12">
        <f>STDEV(B5:N5)</f>
        <v>106.68879978704419</v>
      </c>
      <c r="S5" s="12">
        <f>MIN(B5:N5)</f>
        <v>177</v>
      </c>
      <c r="T5" s="12">
        <f>MAX(B5:N5)</f>
        <v>506</v>
      </c>
    </row>
    <row r="6" spans="1:20" x14ac:dyDescent="0.3">
      <c r="A6" s="22" t="s">
        <v>51</v>
      </c>
      <c r="B6" s="2">
        <v>349</v>
      </c>
      <c r="C6" s="2">
        <v>385</v>
      </c>
      <c r="D6" s="2">
        <v>360</v>
      </c>
      <c r="E6" s="2">
        <v>320</v>
      </c>
      <c r="F6" s="2">
        <v>342</v>
      </c>
      <c r="G6" s="2">
        <v>414</v>
      </c>
      <c r="H6" s="2">
        <v>326</v>
      </c>
      <c r="I6" s="2">
        <v>357</v>
      </c>
      <c r="J6" s="2">
        <v>363</v>
      </c>
      <c r="K6" s="2">
        <v>331</v>
      </c>
      <c r="L6" s="2">
        <v>392</v>
      </c>
      <c r="M6" s="2">
        <v>358</v>
      </c>
      <c r="N6" s="2">
        <v>423</v>
      </c>
      <c r="P6" s="22" t="s">
        <v>51</v>
      </c>
      <c r="Q6" s="12">
        <f>AVERAGE(B6:N6)</f>
        <v>363.07692307692309</v>
      </c>
      <c r="R6" s="12">
        <f>STDEV(B6:N6)</f>
        <v>32.242470796713505</v>
      </c>
      <c r="S6" s="12">
        <f>MIN(B6:N6)</f>
        <v>320</v>
      </c>
      <c r="T6" s="12">
        <f>MAX(B6:N6)</f>
        <v>423</v>
      </c>
    </row>
    <row r="7" spans="1:20" x14ac:dyDescent="0.3">
      <c r="A7" s="23" t="s">
        <v>52</v>
      </c>
      <c r="B7" s="15">
        <v>4911.3999999999996</v>
      </c>
      <c r="C7" s="15">
        <v>5150.7</v>
      </c>
      <c r="D7" s="15">
        <v>4648.8</v>
      </c>
      <c r="E7" s="15">
        <v>4533.2</v>
      </c>
      <c r="F7" s="15">
        <v>4965.7</v>
      </c>
      <c r="G7" s="15">
        <v>5807.1</v>
      </c>
      <c r="H7" s="15">
        <v>5183.7</v>
      </c>
      <c r="I7" s="15">
        <v>5077.7</v>
      </c>
      <c r="J7" s="15">
        <v>5188.8</v>
      </c>
      <c r="K7" s="15">
        <v>4232.5</v>
      </c>
      <c r="L7" s="15">
        <v>5938.2</v>
      </c>
      <c r="M7" s="15">
        <v>4680.8999999999996</v>
      </c>
      <c r="N7" s="15">
        <v>6329.9</v>
      </c>
      <c r="P7" s="23" t="s">
        <v>52</v>
      </c>
      <c r="Q7" s="12">
        <f>AVERAGE(B7:N7)</f>
        <v>5126.8153846153837</v>
      </c>
      <c r="R7" s="12">
        <f>STDEV(B7:N7)</f>
        <v>593.75120469514036</v>
      </c>
      <c r="S7" s="12">
        <f>MIN(B7:N7)</f>
        <v>4232.5</v>
      </c>
      <c r="T7" s="12">
        <f>MAX(B7:N7)</f>
        <v>6329.9</v>
      </c>
    </row>
    <row r="8" spans="1:20" x14ac:dyDescent="0.3">
      <c r="A8" s="22" t="s">
        <v>33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P8" s="22" t="s">
        <v>33</v>
      </c>
      <c r="Q8" s="12">
        <f>AVERAGE(B8:N8)</f>
        <v>0</v>
      </c>
      <c r="R8" s="12">
        <f>STDEV(B8:N8)</f>
        <v>0</v>
      </c>
      <c r="S8" s="12">
        <f>MIN(B8:N8)</f>
        <v>0</v>
      </c>
      <c r="T8" s="12">
        <f>MAX(B8:N8)</f>
        <v>0</v>
      </c>
    </row>
    <row r="9" spans="1:20" x14ac:dyDescent="0.3">
      <c r="A9" s="22" t="s">
        <v>34</v>
      </c>
      <c r="B9" s="2">
        <v>18.7</v>
      </c>
      <c r="C9" s="2">
        <v>18.8</v>
      </c>
      <c r="D9" s="2">
        <v>18.8</v>
      </c>
      <c r="E9" s="2">
        <v>18.100000000000001</v>
      </c>
      <c r="F9" s="2">
        <v>18.5</v>
      </c>
      <c r="G9" s="2">
        <v>19</v>
      </c>
      <c r="H9" s="2">
        <v>18.3</v>
      </c>
      <c r="I9" s="2">
        <v>18.600000000000001</v>
      </c>
      <c r="J9" s="2">
        <v>19.3</v>
      </c>
      <c r="K9" s="2">
        <v>18.7</v>
      </c>
      <c r="L9" s="2">
        <v>18.899999999999999</v>
      </c>
      <c r="M9" s="2">
        <v>19.3</v>
      </c>
      <c r="N9" s="2">
        <v>19.5</v>
      </c>
      <c r="P9" s="22" t="s">
        <v>34</v>
      </c>
      <c r="Q9" s="12">
        <f>AVERAGE(B9:N9)</f>
        <v>18.80769230769231</v>
      </c>
      <c r="R9" s="12">
        <f>STDEV(B9:N9)</f>
        <v>0.40096038553606594</v>
      </c>
      <c r="S9" s="12">
        <f>MIN(B9:N9)</f>
        <v>18.100000000000001</v>
      </c>
      <c r="T9" s="12">
        <f>MAX(B9:N9)</f>
        <v>19.5</v>
      </c>
    </row>
    <row r="10" spans="1:20" x14ac:dyDescent="0.3">
      <c r="A10" s="22" t="s">
        <v>35</v>
      </c>
      <c r="B10" s="2">
        <v>4</v>
      </c>
      <c r="C10" s="2">
        <v>3.3</v>
      </c>
      <c r="D10" s="2">
        <v>4.3</v>
      </c>
      <c r="E10" s="2">
        <v>2.5</v>
      </c>
      <c r="F10" s="2">
        <v>3.5</v>
      </c>
      <c r="G10" s="2">
        <v>2.7</v>
      </c>
      <c r="H10" s="2">
        <v>3.4</v>
      </c>
      <c r="I10" s="2">
        <v>3.1</v>
      </c>
      <c r="J10" s="2">
        <v>6.7</v>
      </c>
      <c r="K10" s="2">
        <v>5.0999999999999996</v>
      </c>
      <c r="L10" s="2">
        <v>3.2</v>
      </c>
      <c r="M10" s="2">
        <v>6.6</v>
      </c>
      <c r="N10" s="2">
        <v>4.8</v>
      </c>
      <c r="P10" s="22" t="s">
        <v>35</v>
      </c>
      <c r="Q10" s="12">
        <f>AVERAGE(B10:N10)</f>
        <v>4.0923076923076929</v>
      </c>
      <c r="R10" s="12">
        <f>STDEV(B10:N10)</f>
        <v>1.3653214142107946</v>
      </c>
      <c r="S10" s="12">
        <f>MIN(B10:N10)</f>
        <v>2.5</v>
      </c>
      <c r="T10" s="12">
        <f>MAX(B10:N10)</f>
        <v>6.7</v>
      </c>
    </row>
    <row r="11" spans="1:20" x14ac:dyDescent="0.3">
      <c r="A11" s="22" t="s">
        <v>36</v>
      </c>
      <c r="B11" s="2">
        <v>15.6</v>
      </c>
      <c r="C11" s="2">
        <v>17</v>
      </c>
      <c r="D11" s="2">
        <v>16</v>
      </c>
      <c r="E11" s="2">
        <v>14.7</v>
      </c>
      <c r="F11" s="2">
        <v>15.4</v>
      </c>
      <c r="G11" s="2">
        <v>18.2</v>
      </c>
      <c r="H11" s="2">
        <v>14.8</v>
      </c>
      <c r="I11" s="2">
        <v>16</v>
      </c>
      <c r="J11" s="2">
        <v>15.7</v>
      </c>
      <c r="K11" s="2">
        <v>14.7</v>
      </c>
      <c r="L11" s="2">
        <v>17.3</v>
      </c>
      <c r="M11" s="2">
        <v>15.5</v>
      </c>
      <c r="N11" s="2">
        <v>18.100000000000001</v>
      </c>
      <c r="P11" s="22" t="s">
        <v>36</v>
      </c>
      <c r="Q11" s="12">
        <f>AVERAGE(B11:N11)</f>
        <v>16.076923076923077</v>
      </c>
      <c r="R11" s="12">
        <f>STDEV(B11:N11)</f>
        <v>1.2091001103808889</v>
      </c>
      <c r="S11" s="12">
        <f>MIN(B11:N11)</f>
        <v>14.7</v>
      </c>
      <c r="T11" s="12">
        <f>MAX(B11:N11)</f>
        <v>18.2</v>
      </c>
    </row>
    <row r="12" spans="1:20" x14ac:dyDescent="0.3">
      <c r="A12" s="22" t="s">
        <v>37</v>
      </c>
      <c r="B12" s="2">
        <v>80.400000000000006</v>
      </c>
      <c r="C12" s="2">
        <v>79.7</v>
      </c>
      <c r="D12" s="2">
        <v>79.8</v>
      </c>
      <c r="E12" s="2">
        <v>82.8</v>
      </c>
      <c r="F12" s="2">
        <v>81.099999999999994</v>
      </c>
      <c r="G12" s="2">
        <v>79.099999999999994</v>
      </c>
      <c r="H12" s="2">
        <v>81.8</v>
      </c>
      <c r="I12" s="2">
        <v>80.8</v>
      </c>
      <c r="J12" s="2">
        <v>77.599999999999994</v>
      </c>
      <c r="K12" s="2">
        <v>80.099999999999994</v>
      </c>
      <c r="L12" s="2">
        <v>79.5</v>
      </c>
      <c r="M12" s="2">
        <v>77.900000000000006</v>
      </c>
      <c r="N12" s="2">
        <v>77.099999999999994</v>
      </c>
      <c r="P12" s="22" t="s">
        <v>37</v>
      </c>
      <c r="Q12" s="12">
        <f>AVERAGE(B12:N12)</f>
        <v>79.823076923076925</v>
      </c>
      <c r="R12" s="12">
        <f>STDEV(B12:N12)</f>
        <v>1.6447663695055326</v>
      </c>
      <c r="S12" s="12">
        <f>MIN(B12:N12)</f>
        <v>77.099999999999994</v>
      </c>
      <c r="T12" s="12">
        <f>MAX(B12:N12)</f>
        <v>82.8</v>
      </c>
    </row>
    <row r="13" spans="1:20" x14ac:dyDescent="0.3">
      <c r="A13" s="22" t="s">
        <v>53</v>
      </c>
      <c r="B13" s="2">
        <v>22.8</v>
      </c>
      <c r="C13" s="2">
        <v>18.5</v>
      </c>
      <c r="D13" s="2">
        <v>17.399999999999999</v>
      </c>
      <c r="E13" s="2">
        <v>24.8</v>
      </c>
      <c r="F13" s="2">
        <v>24.5</v>
      </c>
      <c r="G13" s="2">
        <v>20.100000000000001</v>
      </c>
      <c r="H13" s="2">
        <v>20.7</v>
      </c>
      <c r="I13" s="2">
        <v>20.7</v>
      </c>
      <c r="J13" s="2">
        <v>22</v>
      </c>
      <c r="K13" s="2">
        <v>18.399999999999999</v>
      </c>
      <c r="L13" s="2">
        <v>28.1</v>
      </c>
      <c r="M13" s="2">
        <v>18.100000000000001</v>
      </c>
      <c r="N13" s="2">
        <v>28.7</v>
      </c>
      <c r="P13" s="22" t="s">
        <v>53</v>
      </c>
      <c r="Q13" s="12">
        <f>AVERAGE(B13:N13)</f>
        <v>21.907692307692304</v>
      </c>
      <c r="R13" s="12">
        <f>STDEV(B13:N13)</f>
        <v>3.7113478096377031</v>
      </c>
      <c r="S13" s="12">
        <f>MIN(B13:N13)</f>
        <v>17.399999999999999</v>
      </c>
      <c r="T13" s="12">
        <f>MAX(B13:N13)</f>
        <v>28.7</v>
      </c>
    </row>
    <row r="14" spans="1:20" x14ac:dyDescent="0.3">
      <c r="A14" s="22" t="s">
        <v>54</v>
      </c>
      <c r="B14" s="2">
        <v>2</v>
      </c>
      <c r="C14" s="2">
        <v>2</v>
      </c>
      <c r="D14" s="2">
        <v>2</v>
      </c>
      <c r="E14" s="2">
        <v>1.8</v>
      </c>
      <c r="F14" s="2">
        <v>2.1</v>
      </c>
      <c r="G14" s="2">
        <v>1.9</v>
      </c>
      <c r="H14" s="2">
        <v>1.8</v>
      </c>
      <c r="I14" s="2">
        <v>2.5</v>
      </c>
      <c r="J14" s="2">
        <v>2.6</v>
      </c>
      <c r="K14" s="2">
        <v>2.2000000000000002</v>
      </c>
      <c r="L14" s="2">
        <v>1.8</v>
      </c>
      <c r="M14" s="2">
        <v>1.9</v>
      </c>
      <c r="N14" s="2">
        <v>2.1</v>
      </c>
      <c r="P14" s="22" t="s">
        <v>54</v>
      </c>
      <c r="Q14" s="12">
        <f>AVERAGE(B14:N14)</f>
        <v>2.0538461538461541</v>
      </c>
      <c r="R14" s="12">
        <f>STDEV(B14:N14)</f>
        <v>0.25369070609498828</v>
      </c>
      <c r="S14" s="12">
        <f>MIN(B14:N14)</f>
        <v>1.8</v>
      </c>
      <c r="T14" s="12">
        <f>MAX(B14:N14)</f>
        <v>2.6</v>
      </c>
    </row>
    <row r="15" spans="1:20" x14ac:dyDescent="0.3">
      <c r="A15" s="22" t="s">
        <v>55</v>
      </c>
      <c r="B15" s="2">
        <v>15.8</v>
      </c>
      <c r="C15" s="2">
        <v>18.2</v>
      </c>
      <c r="D15" s="2">
        <v>19.600000000000001</v>
      </c>
      <c r="E15" s="2">
        <v>14.4</v>
      </c>
      <c r="F15" s="2">
        <v>15.9</v>
      </c>
      <c r="G15" s="2">
        <v>17.8</v>
      </c>
      <c r="H15" s="2">
        <v>17</v>
      </c>
      <c r="I15" s="2">
        <v>15.6</v>
      </c>
      <c r="J15" s="2">
        <v>25</v>
      </c>
      <c r="K15" s="2">
        <v>29.3</v>
      </c>
      <c r="L15" s="2">
        <v>19.100000000000001</v>
      </c>
      <c r="M15" s="2">
        <v>26.1</v>
      </c>
      <c r="N15" s="2">
        <v>25.5</v>
      </c>
      <c r="P15" s="22" t="s">
        <v>55</v>
      </c>
      <c r="Q15" s="12">
        <f>AVERAGE(B15:N15)</f>
        <v>19.946153846153848</v>
      </c>
      <c r="R15" s="12">
        <f>STDEV(B15:N15)</f>
        <v>4.8488169321006209</v>
      </c>
      <c r="S15" s="12">
        <f>MIN(B15:N15)</f>
        <v>14.4</v>
      </c>
      <c r="T15" s="12">
        <f>MAX(B15:N15)</f>
        <v>29.3</v>
      </c>
    </row>
    <row r="16" spans="1:20" x14ac:dyDescent="0.3">
      <c r="A16" s="24" t="s">
        <v>41</v>
      </c>
      <c r="B16" s="11">
        <v>9.89</v>
      </c>
      <c r="C16" s="11">
        <v>10.23</v>
      </c>
      <c r="D16" s="11">
        <v>9.58</v>
      </c>
      <c r="E16" s="11">
        <v>10.06</v>
      </c>
      <c r="F16" s="11">
        <v>9.7799999999999994</v>
      </c>
      <c r="G16" s="11">
        <v>12.6</v>
      </c>
      <c r="H16" s="11">
        <v>10.46</v>
      </c>
      <c r="I16" s="11">
        <v>10.6</v>
      </c>
      <c r="J16" s="11">
        <v>11.45</v>
      </c>
      <c r="K16" s="11">
        <v>7.42</v>
      </c>
      <c r="L16" s="11">
        <v>13.52</v>
      </c>
      <c r="M16" s="11">
        <v>9.1</v>
      </c>
      <c r="N16" s="11">
        <v>12.64</v>
      </c>
      <c r="P16" s="24" t="s">
        <v>41</v>
      </c>
      <c r="Q16" s="12">
        <f>AVERAGE(B16:N16)</f>
        <v>10.563846153846153</v>
      </c>
      <c r="R16" s="12">
        <f>STDEV(B16:N16)</f>
        <v>1.6436977543612854</v>
      </c>
      <c r="S16" s="12">
        <f>MIN(B16:N16)</f>
        <v>7.42</v>
      </c>
      <c r="T16" s="12">
        <f>MAX(B16:N16)</f>
        <v>13.52</v>
      </c>
    </row>
  </sheetData>
  <mergeCells count="1">
    <mergeCell ref="B1:N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Kosiarski, Kelly A</cp:lastModifiedBy>
  <dcterms:created xsi:type="dcterms:W3CDTF">2026-04-30T14:17:10Z</dcterms:created>
  <dcterms:modified xsi:type="dcterms:W3CDTF">2026-05-01T14:41:29Z</dcterms:modified>
</cp:coreProperties>
</file>